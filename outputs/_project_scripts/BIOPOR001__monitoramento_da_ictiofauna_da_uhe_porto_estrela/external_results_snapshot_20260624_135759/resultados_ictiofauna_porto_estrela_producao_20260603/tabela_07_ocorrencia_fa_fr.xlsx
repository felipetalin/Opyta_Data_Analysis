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eu Drive\Opyta\Clientes\Clientes\Clientes\Bios\Porto Estrela\Planilha\Resultados\resultados_ictiofauna_porto_estrela_producao_20260603\"/>
    </mc:Choice>
  </mc:AlternateContent>
  <xr:revisionPtr revIDLastSave="0" documentId="13_ncr:1_{FAD5B15A-6B28-41C2-B4D9-060764544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3" i="1" l="1"/>
  <c r="D63" i="1"/>
  <c r="E63" i="1"/>
  <c r="F63" i="1"/>
  <c r="G63" i="1"/>
  <c r="H63" i="1"/>
  <c r="I63" i="1"/>
  <c r="J63" i="1"/>
  <c r="K63" i="1"/>
  <c r="C63" i="1"/>
</calcChain>
</file>

<file path=xl/sharedStrings.xml><?xml version="1.0" encoding="utf-8"?>
<sst xmlns="http://schemas.openxmlformats.org/spreadsheetml/2006/main" count="503" uniqueCount="77">
  <si>
    <t>Espécie</t>
  </si>
  <si>
    <t>Distribuição</t>
  </si>
  <si>
    <t>P9</t>
  </si>
  <si>
    <t>P8</t>
  </si>
  <si>
    <t>P7</t>
  </si>
  <si>
    <t>P6</t>
  </si>
  <si>
    <t>P3</t>
  </si>
  <si>
    <t>P1</t>
  </si>
  <si>
    <t>P2</t>
  </si>
  <si>
    <t>P5</t>
  </si>
  <si>
    <t>P4</t>
  </si>
  <si>
    <t>FA</t>
  </si>
  <si>
    <t>FR (%)</t>
  </si>
  <si>
    <t>Astyanax lacustris</t>
  </si>
  <si>
    <t>Nativa</t>
  </si>
  <si>
    <t>X</t>
  </si>
  <si>
    <t>Astyanax sp.</t>
  </si>
  <si>
    <t>Australoheros ipatinguensis</t>
  </si>
  <si>
    <t>Brycon cf. falcatus</t>
  </si>
  <si>
    <t>Não nativa</t>
  </si>
  <si>
    <t>Brycon dulcis</t>
  </si>
  <si>
    <t>Callichthys callichthys</t>
  </si>
  <si>
    <t>Characidium cf. timbuiense</t>
  </si>
  <si>
    <t>Cichla kelberi</t>
  </si>
  <si>
    <t>Clarias gariepinus</t>
  </si>
  <si>
    <t>Coptodon rendalli</t>
  </si>
  <si>
    <t>Corydoras aeneus</t>
  </si>
  <si>
    <t>Crenicichla lacustris</t>
  </si>
  <si>
    <t>Cyphocharax gilbert</t>
  </si>
  <si>
    <t>Cyprinus carpio</t>
  </si>
  <si>
    <t>Delturus carinotus</t>
  </si>
  <si>
    <t>Deuterodon pedri</t>
  </si>
  <si>
    <t>Deuterodon taeniatus</t>
  </si>
  <si>
    <t>Geophagus brasiliensis</t>
  </si>
  <si>
    <t>Glanidium cf. melanopterum</t>
  </si>
  <si>
    <t>Gymnotus carapo</t>
  </si>
  <si>
    <t>Hasemania nana</t>
  </si>
  <si>
    <t>Henochilus wheatlandii</t>
  </si>
  <si>
    <t>Hoplias intermedius</t>
  </si>
  <si>
    <t>Hoplias malabaricus</t>
  </si>
  <si>
    <t>Hoplosternum littorale</t>
  </si>
  <si>
    <t>Hypomasticus copelandii</t>
  </si>
  <si>
    <t>Hypomasticus mormyrops</t>
  </si>
  <si>
    <t>Hypostomus aff. luetkeni</t>
  </si>
  <si>
    <t>Hypostomus affinis</t>
  </si>
  <si>
    <t>Knodus moenkhausii</t>
  </si>
  <si>
    <t>Leporinus sp.</t>
  </si>
  <si>
    <t>Lophiosilurus alexandri</t>
  </si>
  <si>
    <t>Loricariichthys castaneus</t>
  </si>
  <si>
    <t>Megalamphodus eques</t>
  </si>
  <si>
    <t>Megaleporinus conirostris</t>
  </si>
  <si>
    <t>Megaleporinus macrocephalus</t>
  </si>
  <si>
    <t>Metynnis maculatus</t>
  </si>
  <si>
    <t>Moenkhausia vittata</t>
  </si>
  <si>
    <t>Oligosarcus argenteus</t>
  </si>
  <si>
    <t>Oreochromis niloticus</t>
  </si>
  <si>
    <t>Pachyurus adspersus</t>
  </si>
  <si>
    <t>Piabarchus stramineus</t>
  </si>
  <si>
    <t>Piaractus mesopotamicus</t>
  </si>
  <si>
    <t>Pimelodella sp.</t>
  </si>
  <si>
    <t>Pimelodus maculatus</t>
  </si>
  <si>
    <t>Poecilia reticulata</t>
  </si>
  <si>
    <t>Pogonopoma wertheimeri</t>
  </si>
  <si>
    <t>Prochilodus costatus</t>
  </si>
  <si>
    <t>Prochilodus vimboides</t>
  </si>
  <si>
    <t>Psalidodon fasciatus</t>
  </si>
  <si>
    <t>Pseudauchenipterus affinis</t>
  </si>
  <si>
    <t>Pseudoplatystoma sp. 1</t>
  </si>
  <si>
    <t>Pseudoplatystoma sp. 2</t>
  </si>
  <si>
    <t>Pygocentrus nattereri</t>
  </si>
  <si>
    <t>Rhamdia quelen</t>
  </si>
  <si>
    <t>Salminus brasiliensis</t>
  </si>
  <si>
    <t>Serrapinnus heterodon</t>
  </si>
  <si>
    <t>Synbranchus marmoratus</t>
  </si>
  <si>
    <t>Trachelyopterus striatulus</t>
  </si>
  <si>
    <t>Trichomycterus cf. alternatus</t>
  </si>
  <si>
    <t>Trichomycterus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</si>
</sst>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tabSelected="1" workbookViewId="0">
      <pane ySplit="1" topLeftCell="A42" activePane="bottomLeft" state="frozen"/>
      <selection pane="bottomLeft" activeCell="C63" sqref="C63:L63"/>
    </sheetView>
  </sheetViews>
  <sheetFormatPr defaultRowHeight="14.4" x14ac:dyDescent="0.3"/>
  <cols>
    <col min="1" max="1" width="31" customWidth="1"/>
    <col min="2" max="2" width="14" customWidth="1"/>
    <col min="3" max="12" width="4" customWidth="1"/>
    <col min="13" max="13" width="1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>
        <v>9</v>
      </c>
      <c r="M2">
        <v>100</v>
      </c>
    </row>
    <row r="3" spans="1:13" x14ac:dyDescent="0.3">
      <c r="A3" t="s">
        <v>16</v>
      </c>
      <c r="B3" t="s">
        <v>14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>
        <v>6</v>
      </c>
      <c r="M3">
        <v>66.666666666666657</v>
      </c>
    </row>
    <row r="4" spans="1:13" x14ac:dyDescent="0.3">
      <c r="A4" t="s">
        <v>17</v>
      </c>
      <c r="B4" t="s">
        <v>14</v>
      </c>
      <c r="H4" t="s">
        <v>15</v>
      </c>
      <c r="L4">
        <v>1</v>
      </c>
      <c r="M4">
        <v>11.111111111111111</v>
      </c>
    </row>
    <row r="5" spans="1:13" x14ac:dyDescent="0.3">
      <c r="A5" t="s">
        <v>18</v>
      </c>
      <c r="B5" t="s">
        <v>19</v>
      </c>
      <c r="G5" t="s">
        <v>15</v>
      </c>
      <c r="H5" t="s">
        <v>15</v>
      </c>
      <c r="L5">
        <v>2</v>
      </c>
      <c r="M5">
        <v>22.222222222222221</v>
      </c>
    </row>
    <row r="6" spans="1:13" x14ac:dyDescent="0.3">
      <c r="A6" t="s">
        <v>20</v>
      </c>
      <c r="B6" t="s">
        <v>14</v>
      </c>
      <c r="D6" t="s">
        <v>15</v>
      </c>
      <c r="E6" t="s">
        <v>15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  <c r="L6">
        <v>7</v>
      </c>
      <c r="M6">
        <v>77.777777777777786</v>
      </c>
    </row>
    <row r="7" spans="1:13" x14ac:dyDescent="0.3">
      <c r="A7" t="s">
        <v>21</v>
      </c>
      <c r="B7" t="s">
        <v>14</v>
      </c>
      <c r="J7" t="s">
        <v>15</v>
      </c>
      <c r="L7">
        <v>1</v>
      </c>
      <c r="M7">
        <v>11.111111111111111</v>
      </c>
    </row>
    <row r="8" spans="1:13" x14ac:dyDescent="0.3">
      <c r="A8" t="s">
        <v>22</v>
      </c>
      <c r="B8" t="s">
        <v>14</v>
      </c>
      <c r="C8" t="s">
        <v>15</v>
      </c>
      <c r="D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>
        <v>8</v>
      </c>
      <c r="M8">
        <v>88.888888888888886</v>
      </c>
    </row>
    <row r="9" spans="1:13" x14ac:dyDescent="0.3">
      <c r="A9" t="s">
        <v>23</v>
      </c>
      <c r="B9" t="s">
        <v>19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K9" t="s">
        <v>15</v>
      </c>
      <c r="L9">
        <v>7</v>
      </c>
      <c r="M9">
        <v>77.777777777777786</v>
      </c>
    </row>
    <row r="10" spans="1:13" x14ac:dyDescent="0.3">
      <c r="A10" t="s">
        <v>24</v>
      </c>
      <c r="B10" t="s">
        <v>19</v>
      </c>
      <c r="D10" t="s">
        <v>15</v>
      </c>
      <c r="E10" t="s">
        <v>15</v>
      </c>
      <c r="F10" t="s">
        <v>15</v>
      </c>
      <c r="G10" t="s">
        <v>15</v>
      </c>
      <c r="L10">
        <v>4</v>
      </c>
      <c r="M10">
        <v>44.444444444444443</v>
      </c>
    </row>
    <row r="11" spans="1:13" x14ac:dyDescent="0.3">
      <c r="A11" t="s">
        <v>25</v>
      </c>
      <c r="B11" t="s">
        <v>19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>
        <v>9</v>
      </c>
      <c r="M11">
        <v>100</v>
      </c>
    </row>
    <row r="12" spans="1:13" x14ac:dyDescent="0.3">
      <c r="A12" t="s">
        <v>26</v>
      </c>
      <c r="B12" t="s">
        <v>14</v>
      </c>
      <c r="D12" t="s">
        <v>15</v>
      </c>
      <c r="E12" t="s">
        <v>15</v>
      </c>
      <c r="L12">
        <v>2</v>
      </c>
      <c r="M12">
        <v>22.222222222222221</v>
      </c>
    </row>
    <row r="13" spans="1:13" x14ac:dyDescent="0.3">
      <c r="A13" t="s">
        <v>27</v>
      </c>
      <c r="B13" t="s">
        <v>14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>
        <v>9</v>
      </c>
      <c r="M13">
        <v>100</v>
      </c>
    </row>
    <row r="14" spans="1:13" x14ac:dyDescent="0.3">
      <c r="A14" t="s">
        <v>28</v>
      </c>
      <c r="B14" t="s">
        <v>14</v>
      </c>
      <c r="C14" t="s">
        <v>15</v>
      </c>
      <c r="D14" t="s">
        <v>15</v>
      </c>
      <c r="E14" t="s">
        <v>15</v>
      </c>
      <c r="G14" t="s">
        <v>15</v>
      </c>
      <c r="H14" t="s">
        <v>15</v>
      </c>
      <c r="J14" t="s">
        <v>15</v>
      </c>
      <c r="L14">
        <v>6</v>
      </c>
      <c r="M14">
        <v>66.666666666666657</v>
      </c>
    </row>
    <row r="15" spans="1:13" x14ac:dyDescent="0.3">
      <c r="A15" t="s">
        <v>29</v>
      </c>
      <c r="B15" t="s">
        <v>19</v>
      </c>
      <c r="I15" t="s">
        <v>15</v>
      </c>
      <c r="L15">
        <v>1</v>
      </c>
      <c r="M15">
        <v>11.111111111111111</v>
      </c>
    </row>
    <row r="16" spans="1:13" x14ac:dyDescent="0.3">
      <c r="A16" t="s">
        <v>30</v>
      </c>
      <c r="B16" t="s">
        <v>14</v>
      </c>
      <c r="D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>
        <v>7</v>
      </c>
      <c r="M16">
        <v>77.777777777777786</v>
      </c>
    </row>
    <row r="17" spans="1:13" x14ac:dyDescent="0.3">
      <c r="A17" t="s">
        <v>31</v>
      </c>
      <c r="B17" t="s">
        <v>14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  <c r="L17">
        <v>9</v>
      </c>
      <c r="M17">
        <v>100</v>
      </c>
    </row>
    <row r="18" spans="1:13" x14ac:dyDescent="0.3">
      <c r="A18" t="s">
        <v>32</v>
      </c>
      <c r="B18" t="s">
        <v>14</v>
      </c>
      <c r="C18" t="s">
        <v>15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  <c r="L18">
        <v>9</v>
      </c>
      <c r="M18">
        <v>100</v>
      </c>
    </row>
    <row r="19" spans="1:13" x14ac:dyDescent="0.3">
      <c r="A19" t="s">
        <v>33</v>
      </c>
      <c r="B19" t="s">
        <v>14</v>
      </c>
      <c r="C19" t="s">
        <v>15</v>
      </c>
      <c r="D19" t="s">
        <v>15</v>
      </c>
      <c r="E19" t="s">
        <v>15</v>
      </c>
      <c r="F19" t="s">
        <v>15</v>
      </c>
      <c r="G19" t="s">
        <v>15</v>
      </c>
      <c r="H19" t="s">
        <v>15</v>
      </c>
      <c r="I19" t="s">
        <v>15</v>
      </c>
      <c r="J19" t="s">
        <v>15</v>
      </c>
      <c r="K19" t="s">
        <v>15</v>
      </c>
      <c r="L19">
        <v>9</v>
      </c>
      <c r="M19">
        <v>100</v>
      </c>
    </row>
    <row r="20" spans="1:13" x14ac:dyDescent="0.3">
      <c r="A20" t="s">
        <v>34</v>
      </c>
      <c r="B20" t="s">
        <v>14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15</v>
      </c>
      <c r="K20" t="s">
        <v>15</v>
      </c>
      <c r="L20">
        <v>8</v>
      </c>
      <c r="M20">
        <v>88.888888888888886</v>
      </c>
    </row>
    <row r="21" spans="1:13" x14ac:dyDescent="0.3">
      <c r="A21" t="s">
        <v>35</v>
      </c>
      <c r="B21" t="s">
        <v>14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>
        <v>9</v>
      </c>
      <c r="M21">
        <v>100</v>
      </c>
    </row>
    <row r="22" spans="1:13" x14ac:dyDescent="0.3">
      <c r="A22" t="s">
        <v>36</v>
      </c>
      <c r="B22" t="s">
        <v>14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15</v>
      </c>
      <c r="K22" t="s">
        <v>15</v>
      </c>
      <c r="L22">
        <v>9</v>
      </c>
      <c r="M22">
        <v>100</v>
      </c>
    </row>
    <row r="23" spans="1:13" x14ac:dyDescent="0.3">
      <c r="A23" t="s">
        <v>37</v>
      </c>
      <c r="B23" t="s">
        <v>14</v>
      </c>
      <c r="D23" t="s">
        <v>15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  <c r="L23">
        <v>6</v>
      </c>
      <c r="M23">
        <v>66.666666666666657</v>
      </c>
    </row>
    <row r="24" spans="1:13" x14ac:dyDescent="0.3">
      <c r="A24" t="s">
        <v>38</v>
      </c>
      <c r="B24" t="s">
        <v>14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>
        <v>9</v>
      </c>
      <c r="M24">
        <v>100</v>
      </c>
    </row>
    <row r="25" spans="1:13" x14ac:dyDescent="0.3">
      <c r="A25" t="s">
        <v>39</v>
      </c>
      <c r="B25" t="s">
        <v>14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>
        <v>9</v>
      </c>
      <c r="M25">
        <v>100</v>
      </c>
    </row>
    <row r="26" spans="1:13" x14ac:dyDescent="0.3">
      <c r="A26" t="s">
        <v>40</v>
      </c>
      <c r="B26" t="s">
        <v>19</v>
      </c>
      <c r="C26" t="s">
        <v>15</v>
      </c>
      <c r="D26" t="s">
        <v>15</v>
      </c>
      <c r="E26" t="s">
        <v>15</v>
      </c>
      <c r="F26" t="s">
        <v>15</v>
      </c>
      <c r="G26" t="s">
        <v>15</v>
      </c>
      <c r="H26" t="s">
        <v>15</v>
      </c>
      <c r="I26" t="s">
        <v>15</v>
      </c>
      <c r="J26" t="s">
        <v>15</v>
      </c>
      <c r="K26" t="s">
        <v>15</v>
      </c>
      <c r="L26">
        <v>9</v>
      </c>
      <c r="M26">
        <v>100</v>
      </c>
    </row>
    <row r="27" spans="1:13" x14ac:dyDescent="0.3">
      <c r="A27" t="s">
        <v>41</v>
      </c>
      <c r="B27" t="s">
        <v>14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>
        <v>6</v>
      </c>
      <c r="M27">
        <v>66.666666666666657</v>
      </c>
    </row>
    <row r="28" spans="1:13" x14ac:dyDescent="0.3">
      <c r="A28" t="s">
        <v>42</v>
      </c>
      <c r="B28" t="s">
        <v>14</v>
      </c>
      <c r="D28" t="s">
        <v>15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  <c r="L28">
        <v>6</v>
      </c>
      <c r="M28">
        <v>66.666666666666657</v>
      </c>
    </row>
    <row r="29" spans="1:13" x14ac:dyDescent="0.3">
      <c r="A29" t="s">
        <v>43</v>
      </c>
      <c r="B29" t="s">
        <v>14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  <c r="J29" t="s">
        <v>15</v>
      </c>
      <c r="K29" t="s">
        <v>15</v>
      </c>
      <c r="L29">
        <v>8</v>
      </c>
      <c r="M29">
        <v>88.888888888888886</v>
      </c>
    </row>
    <row r="30" spans="1:13" x14ac:dyDescent="0.3">
      <c r="A30" t="s">
        <v>44</v>
      </c>
      <c r="B30" t="s">
        <v>14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15</v>
      </c>
      <c r="K30" t="s">
        <v>15</v>
      </c>
      <c r="L30">
        <v>9</v>
      </c>
      <c r="M30">
        <v>100</v>
      </c>
    </row>
    <row r="31" spans="1:13" x14ac:dyDescent="0.3">
      <c r="A31" t="s">
        <v>45</v>
      </c>
      <c r="B31" t="s">
        <v>14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>
        <v>9</v>
      </c>
      <c r="M31">
        <v>100</v>
      </c>
    </row>
    <row r="32" spans="1:13" x14ac:dyDescent="0.3">
      <c r="A32" t="s">
        <v>46</v>
      </c>
      <c r="B32" t="s">
        <v>19</v>
      </c>
      <c r="D32" t="s">
        <v>15</v>
      </c>
      <c r="G32" t="s">
        <v>15</v>
      </c>
      <c r="L32">
        <v>2</v>
      </c>
      <c r="M32">
        <v>22.222222222222221</v>
      </c>
    </row>
    <row r="33" spans="1:13" x14ac:dyDescent="0.3">
      <c r="A33" t="s">
        <v>47</v>
      </c>
      <c r="B33" t="s">
        <v>19</v>
      </c>
      <c r="D33" t="s">
        <v>15</v>
      </c>
      <c r="E33" t="s">
        <v>15</v>
      </c>
      <c r="F33" t="s">
        <v>15</v>
      </c>
      <c r="G33" t="s">
        <v>15</v>
      </c>
      <c r="H33" t="s">
        <v>15</v>
      </c>
      <c r="I33" t="s">
        <v>15</v>
      </c>
      <c r="K33" t="s">
        <v>15</v>
      </c>
      <c r="L33">
        <v>7</v>
      </c>
      <c r="M33">
        <v>77.777777777777786</v>
      </c>
    </row>
    <row r="34" spans="1:13" x14ac:dyDescent="0.3">
      <c r="A34" t="s">
        <v>48</v>
      </c>
      <c r="B34" t="s">
        <v>14</v>
      </c>
      <c r="D34" t="s">
        <v>15</v>
      </c>
      <c r="E34" t="s">
        <v>15</v>
      </c>
      <c r="F34" t="s">
        <v>15</v>
      </c>
      <c r="G34" t="s">
        <v>15</v>
      </c>
      <c r="H34" t="s">
        <v>15</v>
      </c>
      <c r="I34" t="s">
        <v>15</v>
      </c>
      <c r="K34" t="s">
        <v>15</v>
      </c>
      <c r="L34">
        <v>7</v>
      </c>
      <c r="M34">
        <v>77.777777777777786</v>
      </c>
    </row>
    <row r="35" spans="1:13" x14ac:dyDescent="0.3">
      <c r="A35" t="s">
        <v>49</v>
      </c>
      <c r="B35" t="s">
        <v>19</v>
      </c>
      <c r="C35" t="s">
        <v>15</v>
      </c>
      <c r="D35" t="s">
        <v>15</v>
      </c>
      <c r="E35" t="s">
        <v>15</v>
      </c>
      <c r="F35" t="s">
        <v>15</v>
      </c>
      <c r="K35" t="s">
        <v>15</v>
      </c>
      <c r="L35">
        <v>5</v>
      </c>
      <c r="M35">
        <v>55.555555555555557</v>
      </c>
    </row>
    <row r="36" spans="1:13" x14ac:dyDescent="0.3">
      <c r="A36" t="s">
        <v>50</v>
      </c>
      <c r="B36" t="s">
        <v>14</v>
      </c>
      <c r="C36" t="s">
        <v>15</v>
      </c>
      <c r="D36" t="s">
        <v>15</v>
      </c>
      <c r="E36" t="s">
        <v>15</v>
      </c>
      <c r="F36" t="s">
        <v>15</v>
      </c>
      <c r="G36" t="s">
        <v>15</v>
      </c>
      <c r="H36" t="s">
        <v>15</v>
      </c>
      <c r="I36" t="s">
        <v>15</v>
      </c>
      <c r="J36" t="s">
        <v>15</v>
      </c>
      <c r="K36" t="s">
        <v>15</v>
      </c>
      <c r="L36">
        <v>9</v>
      </c>
      <c r="M36">
        <v>100</v>
      </c>
    </row>
    <row r="37" spans="1:13" x14ac:dyDescent="0.3">
      <c r="A37" t="s">
        <v>51</v>
      </c>
      <c r="B37" t="s">
        <v>19</v>
      </c>
      <c r="F37" t="s">
        <v>15</v>
      </c>
      <c r="G37" t="s">
        <v>15</v>
      </c>
      <c r="L37">
        <v>2</v>
      </c>
      <c r="M37">
        <v>22.222222222222221</v>
      </c>
    </row>
    <row r="38" spans="1:13" x14ac:dyDescent="0.3">
      <c r="A38" t="s">
        <v>52</v>
      </c>
      <c r="B38" t="s">
        <v>19</v>
      </c>
      <c r="D38" t="s">
        <v>15</v>
      </c>
      <c r="I38" t="s">
        <v>15</v>
      </c>
      <c r="L38">
        <v>2</v>
      </c>
      <c r="M38">
        <v>22.222222222222221</v>
      </c>
    </row>
    <row r="39" spans="1:13" x14ac:dyDescent="0.3">
      <c r="A39" t="s">
        <v>53</v>
      </c>
      <c r="B39" t="s">
        <v>14</v>
      </c>
      <c r="F39" t="s">
        <v>15</v>
      </c>
      <c r="G39" t="s">
        <v>15</v>
      </c>
      <c r="H39" t="s">
        <v>15</v>
      </c>
      <c r="L39">
        <v>3</v>
      </c>
      <c r="M39">
        <v>33.333333333333329</v>
      </c>
    </row>
    <row r="40" spans="1:13" x14ac:dyDescent="0.3">
      <c r="A40" t="s">
        <v>54</v>
      </c>
      <c r="B40" t="s">
        <v>14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>
        <v>8</v>
      </c>
      <c r="M40">
        <v>88.888888888888886</v>
      </c>
    </row>
    <row r="41" spans="1:13" x14ac:dyDescent="0.3">
      <c r="A41" t="s">
        <v>55</v>
      </c>
      <c r="B41" t="s">
        <v>19</v>
      </c>
      <c r="C41" t="s">
        <v>15</v>
      </c>
      <c r="D41" t="s">
        <v>15</v>
      </c>
      <c r="E41" t="s">
        <v>15</v>
      </c>
      <c r="F41" t="s">
        <v>15</v>
      </c>
      <c r="G41" t="s">
        <v>15</v>
      </c>
      <c r="H41" t="s">
        <v>15</v>
      </c>
      <c r="I41" t="s">
        <v>15</v>
      </c>
      <c r="J41" t="s">
        <v>15</v>
      </c>
      <c r="K41" t="s">
        <v>15</v>
      </c>
      <c r="L41">
        <v>9</v>
      </c>
      <c r="M41">
        <v>100</v>
      </c>
    </row>
    <row r="42" spans="1:13" x14ac:dyDescent="0.3">
      <c r="A42" t="s">
        <v>56</v>
      </c>
      <c r="B42" t="s">
        <v>14</v>
      </c>
      <c r="D42" t="s">
        <v>15</v>
      </c>
      <c r="E42" t="s">
        <v>15</v>
      </c>
      <c r="F42" t="s">
        <v>15</v>
      </c>
      <c r="G42" t="s">
        <v>15</v>
      </c>
      <c r="H42" t="s">
        <v>15</v>
      </c>
      <c r="I42" t="s">
        <v>15</v>
      </c>
      <c r="J42" t="s">
        <v>15</v>
      </c>
      <c r="K42" t="s">
        <v>15</v>
      </c>
      <c r="L42">
        <v>8</v>
      </c>
      <c r="M42">
        <v>88.888888888888886</v>
      </c>
    </row>
    <row r="43" spans="1:13" x14ac:dyDescent="0.3">
      <c r="A43" t="s">
        <v>57</v>
      </c>
      <c r="B43" t="s">
        <v>14</v>
      </c>
      <c r="D43" t="s">
        <v>15</v>
      </c>
      <c r="L43">
        <v>1</v>
      </c>
      <c r="M43">
        <v>11.111111111111111</v>
      </c>
    </row>
    <row r="44" spans="1:13" x14ac:dyDescent="0.3">
      <c r="A44" t="s">
        <v>58</v>
      </c>
      <c r="B44" t="s">
        <v>19</v>
      </c>
      <c r="F44" t="s">
        <v>15</v>
      </c>
      <c r="G44" t="s">
        <v>15</v>
      </c>
      <c r="H44" t="s">
        <v>15</v>
      </c>
      <c r="I44" t="s">
        <v>15</v>
      </c>
      <c r="J44" t="s">
        <v>15</v>
      </c>
      <c r="K44" t="s">
        <v>15</v>
      </c>
      <c r="L44">
        <v>6</v>
      </c>
      <c r="M44">
        <v>66.666666666666657</v>
      </c>
    </row>
    <row r="45" spans="1:13" x14ac:dyDescent="0.3">
      <c r="A45" t="s">
        <v>59</v>
      </c>
      <c r="B45" t="s">
        <v>14</v>
      </c>
      <c r="H45" t="s">
        <v>15</v>
      </c>
      <c r="K45" t="s">
        <v>15</v>
      </c>
      <c r="L45">
        <v>2</v>
      </c>
      <c r="M45">
        <v>22.222222222222221</v>
      </c>
    </row>
    <row r="46" spans="1:13" x14ac:dyDescent="0.3">
      <c r="A46" t="s">
        <v>60</v>
      </c>
      <c r="B46" t="s">
        <v>19</v>
      </c>
      <c r="C46" t="s">
        <v>15</v>
      </c>
      <c r="D46" t="s">
        <v>15</v>
      </c>
      <c r="E46" t="s">
        <v>15</v>
      </c>
      <c r="F46" t="s">
        <v>15</v>
      </c>
      <c r="G46" t="s">
        <v>15</v>
      </c>
      <c r="H46" t="s">
        <v>15</v>
      </c>
      <c r="I46" t="s">
        <v>15</v>
      </c>
      <c r="J46" t="s">
        <v>15</v>
      </c>
      <c r="K46" t="s">
        <v>15</v>
      </c>
      <c r="L46">
        <v>9</v>
      </c>
      <c r="M46">
        <v>100</v>
      </c>
    </row>
    <row r="47" spans="1:13" x14ac:dyDescent="0.3">
      <c r="A47" t="s">
        <v>61</v>
      </c>
      <c r="B47" t="s">
        <v>19</v>
      </c>
      <c r="C47" t="s">
        <v>15</v>
      </c>
      <c r="D47" t="s">
        <v>15</v>
      </c>
      <c r="E47" t="s">
        <v>15</v>
      </c>
      <c r="F47" t="s">
        <v>15</v>
      </c>
      <c r="H47" t="s">
        <v>15</v>
      </c>
      <c r="I47" t="s">
        <v>15</v>
      </c>
      <c r="J47" t="s">
        <v>15</v>
      </c>
      <c r="K47" t="s">
        <v>15</v>
      </c>
      <c r="L47">
        <v>8</v>
      </c>
      <c r="M47">
        <v>88.888888888888886</v>
      </c>
    </row>
    <row r="48" spans="1:13" x14ac:dyDescent="0.3">
      <c r="A48" t="s">
        <v>62</v>
      </c>
      <c r="B48" t="s">
        <v>19</v>
      </c>
      <c r="D48" t="s">
        <v>15</v>
      </c>
      <c r="E48" t="s">
        <v>15</v>
      </c>
      <c r="F48" t="s">
        <v>15</v>
      </c>
      <c r="G48" t="s">
        <v>15</v>
      </c>
      <c r="I48" t="s">
        <v>15</v>
      </c>
      <c r="J48" t="s">
        <v>15</v>
      </c>
      <c r="K48" t="s">
        <v>15</v>
      </c>
      <c r="L48">
        <v>7</v>
      </c>
      <c r="M48">
        <v>77.777777777777786</v>
      </c>
    </row>
    <row r="49" spans="1:13" x14ac:dyDescent="0.3">
      <c r="A49" t="s">
        <v>63</v>
      </c>
      <c r="B49" t="s">
        <v>19</v>
      </c>
      <c r="C49" t="s">
        <v>15</v>
      </c>
      <c r="D49" t="s">
        <v>15</v>
      </c>
      <c r="E49" t="s">
        <v>15</v>
      </c>
      <c r="F49" t="s">
        <v>15</v>
      </c>
      <c r="G49" t="s">
        <v>15</v>
      </c>
      <c r="H49" t="s">
        <v>15</v>
      </c>
      <c r="I49" t="s">
        <v>15</v>
      </c>
      <c r="K49" t="s">
        <v>15</v>
      </c>
      <c r="L49">
        <v>8</v>
      </c>
      <c r="M49">
        <v>88.888888888888886</v>
      </c>
    </row>
    <row r="50" spans="1:13" x14ac:dyDescent="0.3">
      <c r="A50" t="s">
        <v>64</v>
      </c>
      <c r="B50" t="s">
        <v>14</v>
      </c>
      <c r="D50" t="s">
        <v>15</v>
      </c>
      <c r="E50" t="s">
        <v>15</v>
      </c>
      <c r="F50" t="s">
        <v>15</v>
      </c>
      <c r="G50" t="s">
        <v>15</v>
      </c>
      <c r="I50" t="s">
        <v>15</v>
      </c>
      <c r="J50" t="s">
        <v>15</v>
      </c>
      <c r="K50" t="s">
        <v>15</v>
      </c>
      <c r="L50">
        <v>7</v>
      </c>
      <c r="M50">
        <v>77.777777777777786</v>
      </c>
    </row>
    <row r="51" spans="1:13" x14ac:dyDescent="0.3">
      <c r="A51" t="s">
        <v>65</v>
      </c>
      <c r="B51" t="s">
        <v>14</v>
      </c>
      <c r="E51" t="s">
        <v>15</v>
      </c>
      <c r="F51" t="s">
        <v>15</v>
      </c>
      <c r="G51" t="s">
        <v>15</v>
      </c>
      <c r="H51" t="s">
        <v>15</v>
      </c>
      <c r="I51" t="s">
        <v>15</v>
      </c>
      <c r="J51" t="s">
        <v>15</v>
      </c>
      <c r="K51" t="s">
        <v>15</v>
      </c>
      <c r="L51">
        <v>7</v>
      </c>
      <c r="M51">
        <v>77.777777777777786</v>
      </c>
    </row>
    <row r="52" spans="1:13" x14ac:dyDescent="0.3">
      <c r="A52" t="s">
        <v>66</v>
      </c>
      <c r="B52" t="s">
        <v>14</v>
      </c>
      <c r="D52" t="s">
        <v>15</v>
      </c>
      <c r="F52" t="s">
        <v>15</v>
      </c>
      <c r="H52" t="s">
        <v>15</v>
      </c>
      <c r="I52" t="s">
        <v>15</v>
      </c>
      <c r="L52">
        <v>4</v>
      </c>
      <c r="M52">
        <v>44.444444444444443</v>
      </c>
    </row>
    <row r="53" spans="1:13" x14ac:dyDescent="0.3">
      <c r="A53" t="s">
        <v>67</v>
      </c>
      <c r="B53" t="s">
        <v>19</v>
      </c>
      <c r="G53" t="s">
        <v>15</v>
      </c>
      <c r="H53" t="s">
        <v>15</v>
      </c>
      <c r="I53" t="s">
        <v>15</v>
      </c>
      <c r="K53" t="s">
        <v>15</v>
      </c>
      <c r="L53">
        <v>4</v>
      </c>
      <c r="M53">
        <v>44.444444444444443</v>
      </c>
    </row>
    <row r="54" spans="1:13" x14ac:dyDescent="0.3">
      <c r="A54" t="s">
        <v>68</v>
      </c>
      <c r="B54" t="s">
        <v>19</v>
      </c>
      <c r="K54" t="s">
        <v>15</v>
      </c>
      <c r="L54">
        <v>1</v>
      </c>
      <c r="M54">
        <v>11.111111111111111</v>
      </c>
    </row>
    <row r="55" spans="1:13" x14ac:dyDescent="0.3">
      <c r="A55" t="s">
        <v>69</v>
      </c>
      <c r="B55" t="s">
        <v>19</v>
      </c>
      <c r="D55" t="s">
        <v>15</v>
      </c>
      <c r="E55" t="s">
        <v>15</v>
      </c>
      <c r="I55" t="s">
        <v>15</v>
      </c>
      <c r="K55" t="s">
        <v>15</v>
      </c>
      <c r="L55">
        <v>4</v>
      </c>
      <c r="M55">
        <v>44.444444444444443</v>
      </c>
    </row>
    <row r="56" spans="1:13" x14ac:dyDescent="0.3">
      <c r="A56" t="s">
        <v>70</v>
      </c>
      <c r="B56" t="s">
        <v>14</v>
      </c>
      <c r="F56" t="s">
        <v>15</v>
      </c>
      <c r="G56" t="s">
        <v>15</v>
      </c>
      <c r="H56" t="s">
        <v>15</v>
      </c>
      <c r="I56" t="s">
        <v>15</v>
      </c>
      <c r="J56" t="s">
        <v>15</v>
      </c>
      <c r="K56" t="s">
        <v>15</v>
      </c>
      <c r="L56">
        <v>6</v>
      </c>
      <c r="M56">
        <v>66.666666666666657</v>
      </c>
    </row>
    <row r="57" spans="1:13" x14ac:dyDescent="0.3">
      <c r="A57" t="s">
        <v>71</v>
      </c>
      <c r="B57" t="s">
        <v>19</v>
      </c>
      <c r="D57" t="s">
        <v>15</v>
      </c>
      <c r="E57" t="s">
        <v>15</v>
      </c>
      <c r="F57" t="s">
        <v>15</v>
      </c>
      <c r="G57" t="s">
        <v>15</v>
      </c>
      <c r="H57" t="s">
        <v>15</v>
      </c>
      <c r="K57" t="s">
        <v>15</v>
      </c>
      <c r="L57">
        <v>6</v>
      </c>
      <c r="M57">
        <v>66.666666666666657</v>
      </c>
    </row>
    <row r="58" spans="1:13" x14ac:dyDescent="0.3">
      <c r="A58" t="s">
        <v>72</v>
      </c>
      <c r="B58" t="s">
        <v>14</v>
      </c>
      <c r="C58" t="s">
        <v>15</v>
      </c>
      <c r="D58" t="s">
        <v>15</v>
      </c>
      <c r="E58" t="s">
        <v>15</v>
      </c>
      <c r="F58" t="s">
        <v>15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  <c r="L58">
        <v>9</v>
      </c>
      <c r="M58">
        <v>100</v>
      </c>
    </row>
    <row r="59" spans="1:13" x14ac:dyDescent="0.3">
      <c r="A59" t="s">
        <v>73</v>
      </c>
      <c r="B59" t="s">
        <v>14</v>
      </c>
      <c r="C59" t="s">
        <v>15</v>
      </c>
      <c r="L59">
        <v>1</v>
      </c>
      <c r="M59">
        <v>11.111111111111111</v>
      </c>
    </row>
    <row r="60" spans="1:13" x14ac:dyDescent="0.3">
      <c r="A60" t="s">
        <v>74</v>
      </c>
      <c r="B60" t="s">
        <v>14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  <c r="L60">
        <v>8</v>
      </c>
      <c r="M60">
        <v>88.888888888888886</v>
      </c>
    </row>
    <row r="61" spans="1:13" x14ac:dyDescent="0.3">
      <c r="A61" t="s">
        <v>75</v>
      </c>
      <c r="B61" t="s">
        <v>14</v>
      </c>
      <c r="F61" t="s">
        <v>15</v>
      </c>
      <c r="G61" t="s">
        <v>15</v>
      </c>
      <c r="L61">
        <v>2</v>
      </c>
      <c r="M61">
        <v>22.222222222222221</v>
      </c>
    </row>
    <row r="62" spans="1:13" x14ac:dyDescent="0.3">
      <c r="A62" t="s">
        <v>76</v>
      </c>
      <c r="B62" t="s">
        <v>14</v>
      </c>
      <c r="F62" t="s">
        <v>15</v>
      </c>
      <c r="G62" t="s">
        <v>15</v>
      </c>
      <c r="K62" t="s">
        <v>15</v>
      </c>
      <c r="L62">
        <v>3</v>
      </c>
      <c r="M62">
        <v>33.333333333333329</v>
      </c>
    </row>
    <row r="63" spans="1:13" x14ac:dyDescent="0.3">
      <c r="C63">
        <f>COUNTA(C2:C62)</f>
        <v>23</v>
      </c>
      <c r="D63">
        <f t="shared" ref="D63:K63" si="0">COUNTA(D2:D62)</f>
        <v>44</v>
      </c>
      <c r="E63">
        <f t="shared" si="0"/>
        <v>37</v>
      </c>
      <c r="F63">
        <f t="shared" si="0"/>
        <v>44</v>
      </c>
      <c r="G63">
        <f t="shared" si="0"/>
        <v>48</v>
      </c>
      <c r="H63">
        <f t="shared" si="0"/>
        <v>45</v>
      </c>
      <c r="I63">
        <f t="shared" si="0"/>
        <v>44</v>
      </c>
      <c r="J63">
        <f t="shared" si="0"/>
        <v>37</v>
      </c>
      <c r="K63">
        <f t="shared" si="0"/>
        <v>46</v>
      </c>
      <c r="L63">
        <f>COUNTA(L2:L62)</f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Talin</cp:lastModifiedBy>
  <dcterms:created xsi:type="dcterms:W3CDTF">2026-06-03T17:15:52Z</dcterms:created>
  <dcterms:modified xsi:type="dcterms:W3CDTF">2026-06-05T12:35:00Z</dcterms:modified>
</cp:coreProperties>
</file>